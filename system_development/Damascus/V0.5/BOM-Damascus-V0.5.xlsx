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wney2\Documents\GitHub\In-situ-monitoring-of-powder-bed-fusion-additive-manufacturing\system_development\Damascus\V0.5\"/>
    </mc:Choice>
  </mc:AlternateContent>
  <xr:revisionPtr revIDLastSave="0" documentId="13_ncr:1_{41798B06-F3F8-4A84-B92C-747F8A35EEBA}" xr6:coauthVersionLast="47" xr6:coauthVersionMax="47" xr10:uidLastSave="{00000000-0000-0000-0000-000000000000}"/>
  <bookViews>
    <workbookView xWindow="-16320" yWindow="-6540" windowWidth="16440" windowHeight="283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9" i="1"/>
  <c r="F12" i="1"/>
  <c r="F13" i="1"/>
  <c r="F14" i="1"/>
  <c r="F15" i="1"/>
  <c r="F8" i="1"/>
  <c r="F37" i="1" l="1"/>
</calcChain>
</file>

<file path=xl/sharedStrings.xml><?xml version="1.0" encoding="utf-8"?>
<sst xmlns="http://schemas.openxmlformats.org/spreadsheetml/2006/main" count="64" uniqueCount="63">
  <si>
    <t>Total Cost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</si>
  <si>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</si>
  <si>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</si>
  <si>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</si>
  <si>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</si>
  <si>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</si>
  <si>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</si>
  <si>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</si>
  <si>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</si>
  <si>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</si>
  <si>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</si>
  <si>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Amount Per Cover</t>
  </si>
  <si>
    <t>Market Rate</t>
  </si>
  <si>
    <t>Internal Part Name</t>
  </si>
  <si>
    <t>MFR / Vendor Description</t>
  </si>
  <si>
    <t>Custom order from Xometry</t>
  </si>
  <si>
    <t>JW WINCO Pull Handle: Unthreaded Holes, Plastic, Black, 1/4 in/5/16 in/M6/M8 Screw Size, 0.32 in</t>
  </si>
  <si>
    <t>handle</t>
  </si>
  <si>
    <t>https://www.grainger.com/product/Rubber-Cord-Buna-N-848F88</t>
  </si>
  <si>
    <t>https://www.grainger.com/product/JW-WINCO-Pull-Handle-Unthreaded-Holes-813RC8</t>
  </si>
  <si>
    <t>Rubber Cord: Buna-N, Round C.S. Shape, 3 mm C.S., 100 ft Overall Lg</t>
  </si>
  <si>
    <t>rubber seal</t>
  </si>
  <si>
    <t>CSBUNA-3.0-100</t>
  </si>
  <si>
    <t>Aluminum Cover</t>
  </si>
  <si>
    <t>https://www.xometry.com/</t>
  </si>
  <si>
    <t xml:space="preserve">Seal Glass Ring </t>
  </si>
  <si>
    <t>Cylinder Housing</t>
  </si>
  <si>
    <t>Camera Lid</t>
  </si>
  <si>
    <t>Cylinder Segment Inner</t>
  </si>
  <si>
    <t>Cylinder Segment Outer</t>
  </si>
  <si>
    <t>Magnet Sensors</t>
  </si>
  <si>
    <t>M6x20 Bolt</t>
  </si>
  <si>
    <t>M6 Nut</t>
  </si>
  <si>
    <t>M5x40 Bolt</t>
  </si>
  <si>
    <t>M5 ID 9.8mm OD Washer</t>
  </si>
  <si>
    <t>M4x14 Bolt</t>
  </si>
  <si>
    <t>M4 ID 8.8mm OD Washer</t>
  </si>
  <si>
    <t>M3x25 Bolt</t>
  </si>
  <si>
    <t>M3x10 Pan Head Bolt</t>
  </si>
  <si>
    <t>M3 Washer</t>
  </si>
  <si>
    <t>M3 Nuts</t>
  </si>
  <si>
    <t>PILZ PSEN 2.1-10 512110 V1.1</t>
  </si>
  <si>
    <t>USB hub</t>
  </si>
  <si>
    <t xml:space="preserve"> U360-004-IND</t>
  </si>
  <si>
    <t>Eaton Tripp Lite Series 4-Port Industrial-Grade USB 3.x (5Gbps) Hub - 20 kV ESD Immunity, Metal Housing, Mountable</t>
  </si>
  <si>
    <t>https://www.cdwg.com/product/tripp-lite-4-port-industrial-usb-3.0-superspeed-hub-15kv-esd-immunity-metal/3682489?pfm=srh</t>
  </si>
  <si>
    <t>https://www.grainger.com/product/Socket-Head-Cap-Screw-M6x1-26WC46</t>
  </si>
  <si>
    <t>Socket Head Cap Screw: M6x1.00 Thread Size, 14 mm Lg, Std, Plain, Stainless Steel, 18-8, 50 PK</t>
  </si>
  <si>
    <t>M6x14 Socket Head Screw</t>
  </si>
  <si>
    <t>M51050.060.0014</t>
  </si>
  <si>
    <t>https://www.grainger.com/product/Socket-Head-Cap-Screw-M6x1-26WC48</t>
  </si>
  <si>
    <t>Socket Head Cap Screw: M6x1.00 Thread Size, 20 mm Lg, Std, Plain, Stainless Steel, 18-8, 50 PK</t>
  </si>
  <si>
    <t>M51050.060.0020</t>
  </si>
  <si>
    <t>M6 ID 12mm OD Washer</t>
  </si>
  <si>
    <t>Flat Washer: 18-8, Stainless Steel, M6 Screw Sz, 6.62 mm In Dia, 12 mm Out Dia, 18-8, 50 PK</t>
  </si>
  <si>
    <t>M51420.060.0001</t>
  </si>
  <si>
    <t>https://www.grainger.com/product/Flat-Washer-18-8-26WC34</t>
  </si>
  <si>
    <t>M51080.060.0001</t>
  </si>
  <si>
    <t>Hex Nut: Std Hex, M6x1.00 Thread, 10 mm Hex Wd, 5 mm Hex Ht, Stainless Steel, 18-8, Plain, 50 PK</t>
  </si>
  <si>
    <t>https://www.grainger.com/product/Hex-Nut-Std-Hex-22YK33</t>
  </si>
  <si>
    <t>relays</t>
  </si>
  <si>
    <t>RELAY GEN PURPOSE SPST 6A 24V</t>
  </si>
  <si>
    <t>https://www.digikey.com/en/products/detail/phoenix-contact/2903361/4755334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</si>
</sst>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/>
    </xf>
    <xf numFmtId="0" fontId="4" fillId="0" borderId="0" xfId="0" applyFont="1"/>
    <xf numFmtId="164" fontId="0" fillId="0" borderId="0" xfId="0" applyNumberFormat="1" applyAlignment="1">
      <alignment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ainger.com/product/Hex-Nut-Std-Hex-22YK33" TargetMode="External"/><Relationship Id="rId3" Type="http://schemas.openxmlformats.org/officeDocument/2006/relationships/hyperlink" Target="https://www.xometry.com/" TargetMode="External"/><Relationship Id="rId7" Type="http://schemas.openxmlformats.org/officeDocument/2006/relationships/hyperlink" Target="https://www.grainger.com/product/Flat-Washer-18-8-26WC34" TargetMode="External"/><Relationship Id="rId2" Type="http://schemas.openxmlformats.org/officeDocument/2006/relationships/hyperlink" Target="https://www.grainger.com/product/JW-WINCO-Pull-Handle-Unthreaded-Holes-813RC8" TargetMode="External"/><Relationship Id="rId1" Type="http://schemas.openxmlformats.org/officeDocument/2006/relationships/hyperlink" Target="https://www.grainger.com/product/Rubber-Cord-Buna-N-848F88" TargetMode="External"/><Relationship Id="rId6" Type="http://schemas.openxmlformats.org/officeDocument/2006/relationships/hyperlink" Target="https://www.grainger.com/product/Socket-Head-Cap-Screw-M6x1-26WC48" TargetMode="External"/><Relationship Id="rId5" Type="http://schemas.openxmlformats.org/officeDocument/2006/relationships/hyperlink" Target="https://www.grainger.com/product/Socket-Head-Cap-Screw-M6x1-26WC46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cdwg.com/product/tripp-lite-4-port-industrial-usb-3.0-superspeed-hub-15kv-esd-immunity-metal/3682489?pfm=srh" TargetMode="External"/><Relationship Id="rId9" Type="http://schemas.openxmlformats.org/officeDocument/2006/relationships/hyperlink" Target="https://www.digikey.com/en/products/detail/phoenix-contact/2903361/47553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37"/>
  <sheetViews>
    <sheetView tabSelected="1" zoomScale="70" zoomScaleNormal="70" workbookViewId="0">
      <selection activeCell="H52" sqref="H52"/>
    </sheetView>
  </sheetViews>
  <sheetFormatPr defaultColWidth="8.85546875" defaultRowHeight="15" x14ac:dyDescent="0.25"/>
  <cols>
    <col min="1" max="1" width="20.140625" bestFit="1" customWidth="1"/>
    <col min="2" max="2" width="33.140625" bestFit="1" customWidth="1"/>
    <col min="3" max="3" width="16.42578125" bestFit="1" customWidth="1"/>
    <col min="4" max="4" width="15.85546875" bestFit="1" customWidth="1"/>
    <col min="5" max="5" width="13.5703125" bestFit="1" customWidth="1"/>
    <col min="6" max="6" width="10.140625" bestFit="1" customWidth="1"/>
    <col min="7" max="7" width="13" customWidth="1"/>
    <col min="8" max="8" width="79" bestFit="1" customWidth="1"/>
    <col min="9" max="9" width="45.5703125" bestFit="1" customWidth="1"/>
    <col min="10" max="10" width="83.5703125" customWidth="1"/>
    <col min="11" max="11" width="62.5703125" customWidth="1"/>
    <col min="12" max="12" width="55.85546875" customWidth="1"/>
    <col min="13" max="13" width="51" customWidth="1"/>
  </cols>
  <sheetData>
    <row r="1" spans="1:13" ht="15" customHeight="1" x14ac:dyDescent="0.25">
      <c r="A1" s="6" t="s">
        <v>13</v>
      </c>
      <c r="B1" s="6" t="s">
        <v>14</v>
      </c>
      <c r="C1" s="6" t="s">
        <v>10</v>
      </c>
      <c r="D1" s="6" t="s">
        <v>11</v>
      </c>
      <c r="E1" s="6" t="s">
        <v>1</v>
      </c>
      <c r="F1" s="6" t="s">
        <v>0</v>
      </c>
      <c r="G1" s="6" t="s">
        <v>9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</row>
    <row r="2" spans="1:13" ht="15" customHeight="1" x14ac:dyDescent="0.25">
      <c r="B2" s="2"/>
      <c r="C2" s="2"/>
      <c r="D2" s="2"/>
      <c r="E2" s="10" t="s">
        <v>12</v>
      </c>
      <c r="F2" s="10" t="s">
        <v>12</v>
      </c>
      <c r="G2" s="5"/>
      <c r="H2" s="1"/>
      <c r="I2" s="4"/>
      <c r="J2" s="2"/>
    </row>
    <row r="3" spans="1:13" ht="15" customHeight="1" x14ac:dyDescent="0.25">
      <c r="B3" s="2"/>
      <c r="C3" s="2"/>
      <c r="D3" s="2"/>
      <c r="E3" s="10"/>
      <c r="F3" s="10"/>
      <c r="G3" s="5"/>
      <c r="H3" s="1"/>
    </row>
    <row r="4" spans="1:13" ht="15" customHeight="1" x14ac:dyDescent="0.25">
      <c r="A4" t="s">
        <v>23</v>
      </c>
      <c r="B4" s="2"/>
      <c r="C4" s="2"/>
      <c r="D4" s="2"/>
      <c r="E4" s="10"/>
      <c r="F4" s="10"/>
      <c r="G4" s="5" t="s">
        <v>15</v>
      </c>
      <c r="H4" s="1" t="s">
        <v>24</v>
      </c>
    </row>
    <row r="5" spans="1:13" ht="15" customHeight="1" x14ac:dyDescent="0.25">
      <c r="B5" s="2"/>
      <c r="C5" s="2"/>
      <c r="D5" s="2"/>
      <c r="E5" s="10"/>
      <c r="F5" s="10"/>
      <c r="G5" s="5"/>
      <c r="H5" s="1"/>
      <c r="I5" s="4"/>
      <c r="J5" s="4"/>
    </row>
    <row r="6" spans="1:13" ht="15" customHeight="1" x14ac:dyDescent="0.25">
      <c r="B6" s="2"/>
      <c r="C6" s="4"/>
      <c r="D6" s="2"/>
      <c r="E6" s="10"/>
      <c r="F6" s="10"/>
      <c r="G6" s="5"/>
      <c r="H6" s="1"/>
      <c r="I6" s="4"/>
      <c r="J6" s="4"/>
    </row>
    <row r="7" spans="1:13" ht="15" customHeight="1" x14ac:dyDescent="0.25">
      <c r="B7" s="2"/>
      <c r="C7" s="4"/>
      <c r="D7" s="2"/>
      <c r="E7" s="10"/>
      <c r="F7" s="10"/>
      <c r="G7" s="5"/>
      <c r="H7" s="1"/>
      <c r="I7" s="3"/>
      <c r="J7" s="4"/>
    </row>
    <row r="8" spans="1:13" ht="15" customHeight="1" x14ac:dyDescent="0.25">
      <c r="A8" s="8" t="s">
        <v>17</v>
      </c>
      <c r="B8" s="2" t="s">
        <v>16</v>
      </c>
      <c r="C8" s="2">
        <v>6333220</v>
      </c>
      <c r="D8" s="2">
        <v>2</v>
      </c>
      <c r="E8" s="10">
        <v>12.7</v>
      </c>
      <c r="F8" s="10">
        <f>D8*E8</f>
        <v>25.4</v>
      </c>
      <c r="G8" s="5"/>
      <c r="H8" s="1" t="s">
        <v>19</v>
      </c>
      <c r="I8" s="4"/>
    </row>
    <row r="9" spans="1:13" ht="15" customHeight="1" x14ac:dyDescent="0.25">
      <c r="A9" s="8" t="s">
        <v>21</v>
      </c>
      <c r="B9" s="2" t="s">
        <v>20</v>
      </c>
      <c r="C9" s="2" t="s">
        <v>22</v>
      </c>
      <c r="D9" s="2">
        <v>1</v>
      </c>
      <c r="E9" s="10">
        <v>73.290000000000006</v>
      </c>
      <c r="F9" s="10">
        <f t="shared" ref="F9:F29" si="0">D9*E9</f>
        <v>73.290000000000006</v>
      </c>
      <c r="G9" s="5"/>
      <c r="H9" s="1" t="s">
        <v>18</v>
      </c>
    </row>
    <row r="10" spans="1:13" ht="15" customHeight="1" x14ac:dyDescent="0.25">
      <c r="A10" s="8"/>
      <c r="B10" s="2"/>
      <c r="C10" s="2"/>
      <c r="D10" s="2"/>
      <c r="E10" s="10"/>
      <c r="F10" s="10"/>
      <c r="G10" s="5"/>
      <c r="H10" s="1"/>
      <c r="I10" s="1"/>
      <c r="J10" s="3"/>
      <c r="K10" s="3"/>
      <c r="L10" s="4"/>
      <c r="M10" s="4"/>
    </row>
    <row r="11" spans="1:13" ht="15" customHeight="1" x14ac:dyDescent="0.25">
      <c r="A11" s="8"/>
      <c r="B11" s="2"/>
      <c r="C11" s="2"/>
      <c r="D11" s="2"/>
      <c r="E11" s="10"/>
      <c r="F11" s="10"/>
      <c r="G11" s="5"/>
      <c r="H11" s="1"/>
      <c r="I11" s="4"/>
    </row>
    <row r="12" spans="1:13" ht="15" customHeight="1" x14ac:dyDescent="0.25">
      <c r="A12" s="8" t="s">
        <v>25</v>
      </c>
      <c r="B12" s="2"/>
      <c r="C12" s="2"/>
      <c r="D12" s="2"/>
      <c r="E12" s="10"/>
      <c r="F12" s="10">
        <f t="shared" si="0"/>
        <v>0</v>
      </c>
      <c r="G12" s="5"/>
      <c r="H12" s="1"/>
      <c r="I12" s="4"/>
    </row>
    <row r="13" spans="1:13" ht="15" customHeight="1" x14ac:dyDescent="0.25">
      <c r="A13" s="8" t="s">
        <v>26</v>
      </c>
      <c r="B13" s="2"/>
      <c r="C13" s="2"/>
      <c r="D13" s="2"/>
      <c r="E13" s="10"/>
      <c r="F13" s="10">
        <f t="shared" si="0"/>
        <v>0</v>
      </c>
      <c r="G13" s="5"/>
      <c r="H13" s="1"/>
      <c r="I13" s="4"/>
    </row>
    <row r="14" spans="1:13" ht="15" customHeight="1" x14ac:dyDescent="0.25">
      <c r="A14" s="8" t="s">
        <v>27</v>
      </c>
      <c r="B14" s="2"/>
      <c r="C14" s="2"/>
      <c r="D14" s="2"/>
      <c r="E14" s="10"/>
      <c r="F14" s="10">
        <f t="shared" si="0"/>
        <v>0</v>
      </c>
      <c r="G14" s="5"/>
      <c r="H14" s="1"/>
    </row>
    <row r="15" spans="1:13" ht="15" customHeight="1" x14ac:dyDescent="0.25">
      <c r="A15" s="8" t="s">
        <v>28</v>
      </c>
      <c r="B15" s="2"/>
      <c r="C15" s="2"/>
      <c r="D15" s="2"/>
      <c r="E15" s="10"/>
      <c r="F15" s="10">
        <f t="shared" si="0"/>
        <v>0</v>
      </c>
      <c r="G15" s="5"/>
      <c r="H15" s="1"/>
    </row>
    <row r="16" spans="1:13" ht="15" customHeight="1" x14ac:dyDescent="0.25">
      <c r="A16" s="8" t="s">
        <v>29</v>
      </c>
      <c r="B16" s="2"/>
      <c r="C16" s="2"/>
      <c r="D16" s="2"/>
      <c r="E16" s="10"/>
      <c r="F16" s="10">
        <f t="shared" si="0"/>
        <v>0</v>
      </c>
      <c r="G16" s="5"/>
      <c r="H16" s="1"/>
      <c r="I16" s="3"/>
    </row>
    <row r="17" spans="1:9" ht="15" customHeight="1" x14ac:dyDescent="0.25">
      <c r="A17" s="8" t="s">
        <v>30</v>
      </c>
      <c r="B17" s="2" t="s">
        <v>41</v>
      </c>
      <c r="C17" s="2"/>
      <c r="D17" s="2"/>
      <c r="E17" s="10"/>
      <c r="F17" s="10">
        <f t="shared" si="0"/>
        <v>0</v>
      </c>
      <c r="G17" s="5"/>
      <c r="H17" s="1"/>
      <c r="I17" s="4"/>
    </row>
    <row r="18" spans="1:9" ht="15" customHeight="1" x14ac:dyDescent="0.25">
      <c r="A18" s="8" t="s">
        <v>48</v>
      </c>
      <c r="B18" s="2" t="s">
        <v>47</v>
      </c>
      <c r="C18" s="2" t="s">
        <v>49</v>
      </c>
      <c r="D18" s="2">
        <v>1</v>
      </c>
      <c r="E18" s="10">
        <v>4.7</v>
      </c>
      <c r="F18" s="10">
        <f t="shared" si="0"/>
        <v>4.7</v>
      </c>
      <c r="G18" s="5"/>
      <c r="H18" s="1" t="s">
        <v>46</v>
      </c>
      <c r="I18" s="4"/>
    </row>
    <row r="19" spans="1:9" ht="15" customHeight="1" x14ac:dyDescent="0.25">
      <c r="A19" s="8" t="s">
        <v>31</v>
      </c>
      <c r="B19" s="2" t="s">
        <v>51</v>
      </c>
      <c r="C19" s="2" t="s">
        <v>52</v>
      </c>
      <c r="D19" s="2">
        <v>1</v>
      </c>
      <c r="E19" s="10">
        <v>7.58</v>
      </c>
      <c r="F19" s="10">
        <f t="shared" si="0"/>
        <v>7.58</v>
      </c>
      <c r="G19" s="5"/>
      <c r="H19" s="1" t="s">
        <v>50</v>
      </c>
      <c r="I19" s="4"/>
    </row>
    <row r="20" spans="1:9" ht="15" customHeight="1" x14ac:dyDescent="0.25">
      <c r="A20" s="8" t="s">
        <v>53</v>
      </c>
      <c r="B20" s="2" t="s">
        <v>54</v>
      </c>
      <c r="C20" s="2" t="s">
        <v>55</v>
      </c>
      <c r="D20" s="2">
        <v>1</v>
      </c>
      <c r="E20" s="10">
        <v>1.54</v>
      </c>
      <c r="F20" s="10">
        <f t="shared" si="0"/>
        <v>1.54</v>
      </c>
      <c r="G20" s="5"/>
      <c r="H20" s="1" t="s">
        <v>56</v>
      </c>
      <c r="I20" s="4"/>
    </row>
    <row r="21" spans="1:9" ht="15" customHeight="1" x14ac:dyDescent="0.25">
      <c r="A21" s="8" t="s">
        <v>32</v>
      </c>
      <c r="B21" s="2" t="s">
        <v>58</v>
      </c>
      <c r="C21" s="2" t="s">
        <v>57</v>
      </c>
      <c r="D21" s="2">
        <v>1</v>
      </c>
      <c r="E21" s="10">
        <v>2.95</v>
      </c>
      <c r="F21" s="10">
        <f t="shared" si="0"/>
        <v>2.95</v>
      </c>
      <c r="G21" s="5"/>
      <c r="H21" s="1" t="s">
        <v>59</v>
      </c>
      <c r="I21" s="4"/>
    </row>
    <row r="22" spans="1:9" ht="15" customHeight="1" x14ac:dyDescent="0.25">
      <c r="A22" s="8" t="s">
        <v>33</v>
      </c>
      <c r="B22" s="2"/>
      <c r="C22" s="2"/>
      <c r="D22" s="2"/>
      <c r="E22" s="10"/>
      <c r="F22" s="10">
        <f t="shared" si="0"/>
        <v>0</v>
      </c>
      <c r="G22" s="5"/>
      <c r="H22" s="1"/>
      <c r="I22" s="4"/>
    </row>
    <row r="23" spans="1:9" ht="15" customHeight="1" x14ac:dyDescent="0.25">
      <c r="A23" s="8" t="s">
        <v>34</v>
      </c>
      <c r="B23" s="2"/>
      <c r="C23" s="2"/>
      <c r="D23" s="2"/>
      <c r="E23" s="10"/>
      <c r="F23" s="10">
        <f t="shared" si="0"/>
        <v>0</v>
      </c>
      <c r="G23" s="5"/>
      <c r="H23" s="1"/>
      <c r="I23" s="4"/>
    </row>
    <row r="24" spans="1:9" ht="15" customHeight="1" x14ac:dyDescent="0.25">
      <c r="A24" s="8" t="s">
        <v>35</v>
      </c>
      <c r="B24" s="2"/>
      <c r="C24" s="2"/>
      <c r="D24" s="2"/>
      <c r="E24" s="10"/>
      <c r="F24" s="10">
        <f t="shared" si="0"/>
        <v>0</v>
      </c>
      <c r="G24" s="5"/>
      <c r="H24" s="1"/>
      <c r="I24" s="4"/>
    </row>
    <row r="25" spans="1:9" ht="15" customHeight="1" x14ac:dyDescent="0.25">
      <c r="A25" s="8" t="s">
        <v>36</v>
      </c>
      <c r="B25" s="2"/>
      <c r="C25" s="2"/>
      <c r="D25" s="2"/>
      <c r="E25" s="10"/>
      <c r="F25" s="10">
        <f t="shared" si="0"/>
        <v>0</v>
      </c>
      <c r="G25" s="5"/>
      <c r="H25" s="1"/>
      <c r="I25" s="4"/>
    </row>
    <row r="26" spans="1:9" ht="15" customHeight="1" x14ac:dyDescent="0.25">
      <c r="A26" s="8" t="s">
        <v>37</v>
      </c>
      <c r="B26" s="2"/>
      <c r="C26" s="2"/>
      <c r="D26" s="2"/>
      <c r="E26" s="10"/>
      <c r="F26" s="10">
        <f t="shared" si="0"/>
        <v>0</v>
      </c>
      <c r="G26" s="5"/>
      <c r="H26" s="1"/>
      <c r="I26" s="4"/>
    </row>
    <row r="27" spans="1:9" ht="15" customHeight="1" x14ac:dyDescent="0.25">
      <c r="A27" s="8" t="s">
        <v>38</v>
      </c>
      <c r="B27" s="2"/>
      <c r="C27" s="2"/>
      <c r="D27" s="2"/>
      <c r="E27" s="10"/>
      <c r="F27" s="10">
        <f t="shared" si="0"/>
        <v>0</v>
      </c>
      <c r="G27" s="5"/>
      <c r="H27" s="1"/>
      <c r="I27" s="4"/>
    </row>
    <row r="28" spans="1:9" ht="15" customHeight="1" x14ac:dyDescent="0.25">
      <c r="A28" s="8" t="s">
        <v>39</v>
      </c>
      <c r="B28" s="2"/>
      <c r="C28" s="2"/>
      <c r="D28" s="2"/>
      <c r="E28" s="10"/>
      <c r="F28" s="10">
        <f t="shared" si="0"/>
        <v>0</v>
      </c>
      <c r="G28" s="5"/>
      <c r="H28" s="1"/>
      <c r="I28" s="4"/>
    </row>
    <row r="29" spans="1:9" ht="15" customHeight="1" x14ac:dyDescent="0.25">
      <c r="A29" s="8" t="s">
        <v>40</v>
      </c>
      <c r="B29" s="2"/>
      <c r="C29" s="2"/>
      <c r="D29" s="2"/>
      <c r="E29" s="11"/>
      <c r="F29" s="10">
        <f t="shared" si="0"/>
        <v>0</v>
      </c>
      <c r="G29" s="5"/>
      <c r="H29" s="3"/>
      <c r="I29" s="4"/>
    </row>
    <row r="30" spans="1:9" ht="15" customHeight="1" x14ac:dyDescent="0.25">
      <c r="A30" s="2" t="s">
        <v>42</v>
      </c>
      <c r="B30" s="2" t="s">
        <v>44</v>
      </c>
      <c r="C30" s="9" t="s">
        <v>43</v>
      </c>
      <c r="D30" s="2">
        <v>1</v>
      </c>
      <c r="E30" s="10">
        <v>110</v>
      </c>
      <c r="F30" s="10">
        <f>D30*E30</f>
        <v>110</v>
      </c>
      <c r="G30" s="5"/>
      <c r="H30" s="3" t="s">
        <v>45</v>
      </c>
      <c r="I30" s="4"/>
    </row>
    <row r="31" spans="1:9" ht="15" customHeight="1" x14ac:dyDescent="0.25">
      <c r="A31" s="2" t="s">
        <v>60</v>
      </c>
      <c r="B31" s="2" t="s">
        <v>61</v>
      </c>
      <c r="C31" s="2">
        <v>2903361</v>
      </c>
      <c r="D31" s="2">
        <v>2</v>
      </c>
      <c r="E31" s="10">
        <v>9.4600000000000009</v>
      </c>
      <c r="F31" s="10">
        <f>D31*E31</f>
        <v>18.920000000000002</v>
      </c>
      <c r="G31" s="5"/>
      <c r="H31" s="3" t="s">
        <v>62</v>
      </c>
    </row>
    <row r="32" spans="1:9" x14ac:dyDescent="0.25">
      <c r="A32" s="2"/>
      <c r="B32" s="2"/>
      <c r="C32" s="2"/>
      <c r="D32" s="2"/>
      <c r="E32" s="10"/>
      <c r="F32" s="10"/>
      <c r="G32" s="2"/>
      <c r="H32" s="3"/>
    </row>
    <row r="33" spans="1:8" x14ac:dyDescent="0.25">
      <c r="A33" s="2"/>
      <c r="B33" s="2"/>
      <c r="C33" s="2"/>
      <c r="D33" s="2"/>
      <c r="E33" s="10"/>
      <c r="F33" s="10"/>
      <c r="G33" s="2"/>
      <c r="H33" s="3"/>
    </row>
    <row r="34" spans="1:8" x14ac:dyDescent="0.25">
      <c r="A34" s="2"/>
      <c r="D34" s="2"/>
      <c r="E34" s="10"/>
      <c r="F34" s="10"/>
      <c r="G34" s="2"/>
      <c r="H34" s="1"/>
    </row>
    <row r="35" spans="1:8" x14ac:dyDescent="0.25">
      <c r="E35" s="11"/>
      <c r="F35" s="11"/>
    </row>
    <row r="36" spans="1:8" x14ac:dyDescent="0.25">
      <c r="E36" s="11"/>
      <c r="F36" s="11"/>
    </row>
    <row r="37" spans="1:8" x14ac:dyDescent="0.25">
      <c r="E37" s="7" t="s">
        <v>8</v>
      </c>
      <c r="F37" s="5">
        <f>SUM(F2:F36)</f>
        <v>244.38</v>
      </c>
    </row>
  </sheetData>
  <phoneticPr fontId="3" type="noConversion"/>
  <hyperlinks>
    <hyperlink ref="H9" r:id="rId1" xr:uid="{CADA28BD-E75E-40BF-91F5-ECEC4DFDD175}"/>
    <hyperlink ref="H8" r:id="rId2" xr:uid="{0EDC0A57-8E4C-4D3A-8F84-8D905F46C8DF}"/>
    <hyperlink ref="H4" r:id="rId3" xr:uid="{1ECF2406-B0D1-41D2-AB7D-AB233330FD61}"/>
    <hyperlink ref="H30" r:id="rId4" xr:uid="{09C07DD3-BEB0-4324-912F-D9BB7285A77D}"/>
    <hyperlink ref="H18" r:id="rId5" xr:uid="{626FADE7-D6F2-4623-B41F-525D88835216}"/>
    <hyperlink ref="H19" r:id="rId6" xr:uid="{E1235693-0AE4-483A-80C1-C4EB98C7CCE2}"/>
    <hyperlink ref="H20" r:id="rId7" xr:uid="{DFE47E21-CC99-4786-9546-33196C5907C2}"/>
    <hyperlink ref="H21" r:id="rId8" xr:uid="{B0FFF7C7-7C5F-48BF-B374-ADD953FC535F}"/>
    <hyperlink ref="H31" r:id="rId9" xr:uid="{758FB3AE-1CB5-4064-94B5-5BCA666DF382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2026-06-30T02:54:09Z</dcterms:modified>
</cp:coreProperties>
</file>